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\Master Thesis\22_05_ISR_Data\Code_Online_Feedback\Code\"/>
    </mc:Choice>
  </mc:AlternateContent>
  <xr:revisionPtr revIDLastSave="0" documentId="13_ncr:1_{6EEB6FC3-AC84-490E-8522-42A6E7C0614C}" xr6:coauthVersionLast="47" xr6:coauthVersionMax="47" xr10:uidLastSave="{00000000-0000-0000-0000-000000000000}"/>
  <bookViews>
    <workbookView xWindow="28680" yWindow="-120" windowWidth="29040" windowHeight="15840" xr2:uid="{B4364B5D-95EF-4E95-8AF8-A2B60ABE6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D34" i="1"/>
  <c r="E34" i="1"/>
  <c r="F34" i="1"/>
  <c r="G34" i="1"/>
  <c r="H34" i="1"/>
  <c r="D33" i="1"/>
  <c r="E33" i="1"/>
  <c r="F33" i="1"/>
  <c r="G33" i="1"/>
  <c r="H33" i="1"/>
  <c r="D32" i="1"/>
  <c r="E32" i="1"/>
  <c r="F32" i="1"/>
  <c r="G32" i="1"/>
  <c r="H32" i="1"/>
  <c r="D31" i="1"/>
  <c r="E31" i="1"/>
  <c r="F31" i="1"/>
  <c r="G31" i="1"/>
  <c r="H31" i="1"/>
  <c r="D30" i="1"/>
  <c r="E30" i="1"/>
  <c r="F30" i="1"/>
  <c r="G30" i="1"/>
  <c r="H30" i="1"/>
  <c r="D29" i="1"/>
  <c r="E29" i="1"/>
  <c r="F29" i="1"/>
  <c r="G29" i="1"/>
  <c r="H29" i="1"/>
  <c r="E28" i="1"/>
  <c r="F28" i="1"/>
  <c r="G28" i="1"/>
  <c r="H28" i="1"/>
  <c r="D28" i="1"/>
  <c r="C33" i="1"/>
  <c r="C35" i="1"/>
  <c r="C31" i="1"/>
  <c r="C29" i="1"/>
  <c r="C32" i="1"/>
  <c r="C34" i="1"/>
  <c r="C30" i="1"/>
  <c r="C28" i="1"/>
</calcChain>
</file>

<file path=xl/sharedStrings.xml><?xml version="1.0" encoding="utf-8"?>
<sst xmlns="http://schemas.openxmlformats.org/spreadsheetml/2006/main" count="37" uniqueCount="22">
  <si>
    <t>CSP Filters</t>
  </si>
  <si>
    <t>Protocol Type</t>
  </si>
  <si>
    <t>Rest / Closed</t>
  </si>
  <si>
    <t>Rest / Opened</t>
  </si>
  <si>
    <t>Rest / Movement</t>
  </si>
  <si>
    <t>rest first HOH 1</t>
  </si>
  <si>
    <t>rest first  1</t>
  </si>
  <si>
    <t>rest first 2</t>
  </si>
  <si>
    <t>rest first HOH 2</t>
  </si>
  <si>
    <t>rest first HOH 3</t>
  </si>
  <si>
    <t>rest middle 1</t>
  </si>
  <si>
    <t>rest middle 2</t>
  </si>
  <si>
    <t>rest middle HOH 1</t>
  </si>
  <si>
    <t>rest middle HOH 2</t>
  </si>
  <si>
    <t>rest middle HOH 3</t>
  </si>
  <si>
    <t>mean</t>
  </si>
  <si>
    <t>std</t>
  </si>
  <si>
    <t xml:space="preserve">rest first  </t>
  </si>
  <si>
    <t xml:space="preserve">rest first HOH </t>
  </si>
  <si>
    <t xml:space="preserve">rest middle </t>
  </si>
  <si>
    <t xml:space="preserve">rest middle HOH </t>
  </si>
  <si>
    <t xml:space="preserve">Average: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</si>
</sst>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9" fontId="0" fillId="0" borderId="24" xfId="1" applyNumberFormat="1" applyFont="1" applyBorder="1"/>
    <xf numFmtId="9" fontId="0" fillId="0" borderId="8" xfId="1" applyNumberFormat="1" applyFont="1" applyBorder="1"/>
    <xf numFmtId="9" fontId="0" fillId="0" borderId="25" xfId="1" applyNumberFormat="1" applyFont="1" applyBorder="1"/>
    <xf numFmtId="9" fontId="0" fillId="0" borderId="6" xfId="1" applyNumberFormat="1" applyFont="1" applyBorder="1"/>
    <xf numFmtId="9" fontId="0" fillId="0" borderId="26" xfId="1" applyNumberFormat="1" applyFont="1" applyBorder="1"/>
    <xf numFmtId="9" fontId="0" fillId="0" borderId="5" xfId="1" applyNumberFormat="1" applyFont="1" applyBorder="1"/>
    <xf numFmtId="9" fontId="0" fillId="0" borderId="2" xfId="1" applyNumberFormat="1" applyFont="1" applyBorder="1"/>
    <xf numFmtId="9" fontId="0" fillId="0" borderId="27" xfId="1" applyNumberFormat="1" applyFont="1" applyBorder="1"/>
    <xf numFmtId="9" fontId="0" fillId="0" borderId="12" xfId="1" applyNumberFormat="1" applyFont="1" applyBorder="1"/>
    <xf numFmtId="9" fontId="0" fillId="0" borderId="13" xfId="1" applyNumberFormat="1" applyFont="1" applyBorder="1"/>
    <xf numFmtId="0" fontId="0" fillId="0" borderId="22" xfId="0" applyBorder="1" applyAlignment="1">
      <alignment horizontal="center" vertical="center"/>
    </xf>
    <xf numFmtId="9" fontId="0" fillId="0" borderId="9" xfId="1" applyNumberFormat="1" applyFont="1" applyBorder="1"/>
    <xf numFmtId="9" fontId="0" fillId="0" borderId="10" xfId="1" applyNumberFormat="1" applyFont="1" applyBorder="1"/>
    <xf numFmtId="9" fontId="0" fillId="0" borderId="11" xfId="1" applyNumberFormat="1" applyFont="1" applyBorder="1"/>
    <xf numFmtId="9" fontId="0" fillId="0" borderId="4" xfId="1" applyNumberFormat="1" applyFont="1" applyBorder="1"/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3891-8F1A-4DE2-AB9B-FE161F9F5034}">
  <dimension ref="A1:H35"/>
  <sheetViews>
    <sheetView tabSelected="1" topLeftCell="A2" workbookViewId="0">
      <selection activeCell="L29" sqref="L29"/>
    </sheetView>
  </sheetViews>
  <sheetFormatPr defaultRowHeight="14.4" x14ac:dyDescent="0.3"/>
  <cols>
    <col min="1" max="1" width="20.33203125" customWidth="1"/>
    <col min="2" max="2" width="10.77734375" customWidth="1"/>
    <col min="3" max="3" width="13.44140625" customWidth="1"/>
    <col min="4" max="4" width="12.6640625" customWidth="1"/>
    <col min="5" max="5" width="13.6640625" customWidth="1"/>
    <col min="6" max="6" width="11.109375" customWidth="1"/>
    <col min="7" max="7" width="11.21875" customWidth="1"/>
    <col min="8" max="8" width="10.44140625" customWidth="1"/>
    <col min="12" max="12" width="16.21875" customWidth="1"/>
    <col min="14" max="14" width="21" customWidth="1"/>
  </cols>
  <sheetData>
    <row r="1" spans="1:8" x14ac:dyDescent="0.3">
      <c r="A1" s="13" t="s">
        <v>1</v>
      </c>
      <c r="B1" s="11" t="s">
        <v>0</v>
      </c>
      <c r="C1" s="14" t="s">
        <v>2</v>
      </c>
      <c r="D1" s="15"/>
      <c r="E1" s="14" t="s">
        <v>3</v>
      </c>
      <c r="F1" s="15"/>
      <c r="G1" s="14" t="s">
        <v>4</v>
      </c>
      <c r="H1" s="15"/>
    </row>
    <row r="2" spans="1:8" ht="15" thickBot="1" x14ac:dyDescent="0.35">
      <c r="A2" s="16"/>
      <c r="B2" s="12"/>
      <c r="C2" s="4" t="s">
        <v>15</v>
      </c>
      <c r="D2" s="3" t="s">
        <v>16</v>
      </c>
      <c r="E2" s="4" t="s">
        <v>15</v>
      </c>
      <c r="F2" s="3" t="s">
        <v>16</v>
      </c>
      <c r="G2" s="4" t="s">
        <v>15</v>
      </c>
      <c r="H2" s="3" t="s">
        <v>16</v>
      </c>
    </row>
    <row r="3" spans="1:8" x14ac:dyDescent="0.3">
      <c r="A3" s="2" t="s">
        <v>6</v>
      </c>
      <c r="B3" s="7">
        <v>2</v>
      </c>
      <c r="C3" s="17">
        <v>0.75</v>
      </c>
      <c r="D3" s="18">
        <v>0.30618621784789724</v>
      </c>
      <c r="E3" s="17">
        <v>0.85</v>
      </c>
      <c r="F3" s="18">
        <v>0.13693063937629152</v>
      </c>
      <c r="G3" s="17">
        <v>0.53333333333333333</v>
      </c>
      <c r="H3" s="18">
        <v>0.2173067468400883</v>
      </c>
    </row>
    <row r="4" spans="1:8" x14ac:dyDescent="0.3">
      <c r="A4" s="1"/>
      <c r="B4" s="8">
        <v>4</v>
      </c>
      <c r="C4" s="19">
        <v>0.7</v>
      </c>
      <c r="D4" s="20">
        <v>0.27386127875258304</v>
      </c>
      <c r="E4" s="19">
        <v>0.55000000000000004</v>
      </c>
      <c r="F4" s="20">
        <v>0.20916500663351889</v>
      </c>
      <c r="G4" s="19">
        <v>0.66666666666666674</v>
      </c>
      <c r="H4" s="20">
        <v>0.16666666666666669</v>
      </c>
    </row>
    <row r="5" spans="1:8" x14ac:dyDescent="0.3">
      <c r="A5" s="1" t="s">
        <v>7</v>
      </c>
      <c r="B5" s="9">
        <v>2</v>
      </c>
      <c r="C5" s="21">
        <v>0.45</v>
      </c>
      <c r="D5" s="22">
        <v>0.37080992435478316</v>
      </c>
      <c r="E5" s="21">
        <v>0.85</v>
      </c>
      <c r="F5" s="22">
        <v>0.22360679774997896</v>
      </c>
      <c r="G5" s="21">
        <v>0.7</v>
      </c>
      <c r="H5" s="22">
        <v>7.453559924999302E-2</v>
      </c>
    </row>
    <row r="6" spans="1:8" x14ac:dyDescent="0.3">
      <c r="A6" s="1"/>
      <c r="B6" s="8">
        <v>4</v>
      </c>
      <c r="C6" s="19">
        <v>0.45</v>
      </c>
      <c r="D6" s="20">
        <v>0.32596012026013244</v>
      </c>
      <c r="E6" s="19">
        <v>0.65</v>
      </c>
      <c r="F6" s="20">
        <v>0.28504385627478451</v>
      </c>
      <c r="G6" s="19">
        <v>0.73333333333333328</v>
      </c>
      <c r="H6" s="20">
        <v>9.1287092917527735E-2</v>
      </c>
    </row>
    <row r="7" spans="1:8" x14ac:dyDescent="0.3">
      <c r="A7" s="1" t="s">
        <v>5</v>
      </c>
      <c r="B7" s="9">
        <v>2</v>
      </c>
      <c r="C7" s="21">
        <v>0.55000000000000004</v>
      </c>
      <c r="D7" s="22">
        <v>0.20916500663351889</v>
      </c>
      <c r="E7" s="21">
        <v>0.55000000000000004</v>
      </c>
      <c r="F7" s="22">
        <v>0.27386127875258304</v>
      </c>
      <c r="G7" s="21">
        <v>0.6333333333333333</v>
      </c>
      <c r="H7" s="22">
        <v>0.27386127875258309</v>
      </c>
    </row>
    <row r="8" spans="1:8" x14ac:dyDescent="0.3">
      <c r="A8" s="1"/>
      <c r="B8" s="8">
        <v>4</v>
      </c>
      <c r="C8" s="19">
        <v>0.6</v>
      </c>
      <c r="D8" s="20">
        <v>0.13693063937629152</v>
      </c>
      <c r="E8" s="19">
        <v>0.55000000000000004</v>
      </c>
      <c r="F8" s="20">
        <v>0.27386127875258304</v>
      </c>
      <c r="G8" s="19">
        <v>0.6333333333333333</v>
      </c>
      <c r="H8" s="20">
        <v>0.13944333775567927</v>
      </c>
    </row>
    <row r="9" spans="1:8" x14ac:dyDescent="0.3">
      <c r="A9" s="1" t="s">
        <v>8</v>
      </c>
      <c r="B9" s="9">
        <v>2</v>
      </c>
      <c r="C9" s="21">
        <v>0.5</v>
      </c>
      <c r="D9" s="22">
        <v>0.25</v>
      </c>
      <c r="E9" s="21">
        <v>0.25</v>
      </c>
      <c r="F9" s="22">
        <v>0.17677669500000001</v>
      </c>
      <c r="G9" s="21">
        <v>0.66666666699999999</v>
      </c>
      <c r="H9" s="22">
        <v>0.11785113</v>
      </c>
    </row>
    <row r="10" spans="1:8" x14ac:dyDescent="0.3">
      <c r="A10" s="1"/>
      <c r="B10" s="8">
        <v>4</v>
      </c>
      <c r="C10" s="19">
        <v>0.65</v>
      </c>
      <c r="D10" s="20">
        <v>0.13693063899999999</v>
      </c>
      <c r="E10" s="19">
        <v>0.55000000000000004</v>
      </c>
      <c r="F10" s="20">
        <v>0.32596012000000002</v>
      </c>
      <c r="G10" s="19">
        <v>0.76666666699999997</v>
      </c>
      <c r="H10" s="20">
        <v>0.14907119799999999</v>
      </c>
    </row>
    <row r="11" spans="1:8" x14ac:dyDescent="0.3">
      <c r="A11" s="1" t="s">
        <v>9</v>
      </c>
      <c r="B11" s="9">
        <v>2</v>
      </c>
      <c r="C11" s="21">
        <v>0.75</v>
      </c>
      <c r="D11" s="22">
        <v>0.30618621784789724</v>
      </c>
      <c r="E11" s="21">
        <v>0.65</v>
      </c>
      <c r="F11" s="22">
        <v>0.28504385627478451</v>
      </c>
      <c r="G11" s="21">
        <v>0.59999999999999987</v>
      </c>
      <c r="H11" s="22">
        <v>0.19002923751652301</v>
      </c>
    </row>
    <row r="12" spans="1:8" x14ac:dyDescent="0.3">
      <c r="A12" s="1"/>
      <c r="B12" s="8">
        <v>4</v>
      </c>
      <c r="C12" s="19">
        <v>0.65</v>
      </c>
      <c r="D12" s="20">
        <v>0.22360679774997896</v>
      </c>
      <c r="E12" s="19">
        <v>0.6</v>
      </c>
      <c r="F12" s="20">
        <v>0.37914377220257756</v>
      </c>
      <c r="G12" s="19">
        <v>0.76666666666666672</v>
      </c>
      <c r="H12" s="20">
        <v>0.19002923751652301</v>
      </c>
    </row>
    <row r="13" spans="1:8" x14ac:dyDescent="0.3">
      <c r="A13" s="1" t="s">
        <v>10</v>
      </c>
      <c r="B13" s="9">
        <v>2</v>
      </c>
      <c r="C13" s="21">
        <v>0.65333333333333332</v>
      </c>
      <c r="D13" s="22">
        <v>0.2062899792902107</v>
      </c>
      <c r="E13" s="21">
        <v>0.68666666666666665</v>
      </c>
      <c r="F13" s="22">
        <v>0.18797162906495579</v>
      </c>
      <c r="G13" s="21">
        <v>0.62023809523809526</v>
      </c>
      <c r="H13" s="22">
        <v>0.2770384151100927</v>
      </c>
    </row>
    <row r="14" spans="1:8" x14ac:dyDescent="0.3">
      <c r="A14" s="1"/>
      <c r="B14" s="8">
        <v>4</v>
      </c>
      <c r="C14" s="19">
        <v>0.48</v>
      </c>
      <c r="D14" s="20">
        <v>4.4721359549995787E-2</v>
      </c>
      <c r="E14" s="19">
        <v>0.53333333333333333</v>
      </c>
      <c r="F14" s="20">
        <v>0.19578900207451219</v>
      </c>
      <c r="G14" s="19">
        <v>0.53690476190476188</v>
      </c>
      <c r="H14" s="20">
        <v>0.2688605544374747</v>
      </c>
    </row>
    <row r="15" spans="1:8" x14ac:dyDescent="0.3">
      <c r="A15" s="1" t="s">
        <v>11</v>
      </c>
      <c r="B15" s="9">
        <v>2</v>
      </c>
      <c r="C15" s="21">
        <v>0.57333333333333336</v>
      </c>
      <c r="D15" s="22">
        <v>0.31481917208313581</v>
      </c>
      <c r="E15" s="21">
        <v>0.74</v>
      </c>
      <c r="F15" s="22">
        <v>0.22410315085295482</v>
      </c>
      <c r="G15" s="21">
        <v>0.74285714285714288</v>
      </c>
      <c r="H15" s="22">
        <v>0.15392401385364249</v>
      </c>
    </row>
    <row r="16" spans="1:8" x14ac:dyDescent="0.3">
      <c r="A16" s="1"/>
      <c r="B16" s="8">
        <v>4</v>
      </c>
      <c r="C16" s="19">
        <v>0.68666666666666665</v>
      </c>
      <c r="D16" s="20">
        <v>0.18797162906495582</v>
      </c>
      <c r="E16" s="19">
        <v>0.71333333333333326</v>
      </c>
      <c r="F16" s="20">
        <v>9.8882646494608872E-2</v>
      </c>
      <c r="G16" s="19">
        <v>0.78095238095238106</v>
      </c>
      <c r="H16" s="20">
        <v>0.15535600255009357</v>
      </c>
    </row>
    <row r="17" spans="1:8" x14ac:dyDescent="0.3">
      <c r="A17" s="1" t="s">
        <v>12</v>
      </c>
      <c r="B17" s="9">
        <v>2</v>
      </c>
      <c r="C17" s="21">
        <v>0.63666666666666671</v>
      </c>
      <c r="D17" s="22">
        <v>0.19090428084368474</v>
      </c>
      <c r="E17" s="21">
        <v>0.66666666666666674</v>
      </c>
      <c r="F17" s="22">
        <v>0.26977356760397747</v>
      </c>
      <c r="G17" s="21">
        <v>0.62619047619047619</v>
      </c>
      <c r="H17" s="22">
        <v>0.11892851184516359</v>
      </c>
    </row>
    <row r="18" spans="1:8" x14ac:dyDescent="0.3">
      <c r="A18" s="1"/>
      <c r="B18" s="8">
        <v>4</v>
      </c>
      <c r="C18" s="19">
        <v>0.7433333333333334</v>
      </c>
      <c r="D18" s="20">
        <v>0.18318175552045449</v>
      </c>
      <c r="E18" s="19">
        <v>0.56666666666666665</v>
      </c>
      <c r="F18" s="20">
        <v>0.2309401076758503</v>
      </c>
      <c r="G18" s="19">
        <v>0.70119047619047614</v>
      </c>
      <c r="H18" s="20">
        <v>0.10390272683616601</v>
      </c>
    </row>
    <row r="19" spans="1:8" x14ac:dyDescent="0.3">
      <c r="A19" s="1" t="s">
        <v>13</v>
      </c>
      <c r="B19" s="9">
        <v>2</v>
      </c>
      <c r="C19" s="21">
        <v>0.54666666666666663</v>
      </c>
      <c r="D19" s="22">
        <v>0.11690451944500119</v>
      </c>
      <c r="E19" s="21">
        <v>0.62666666666666671</v>
      </c>
      <c r="F19" s="22">
        <v>0.2178174567027272</v>
      </c>
      <c r="G19" s="21">
        <v>0.7595238095238096</v>
      </c>
      <c r="H19" s="22">
        <v>0.18218564701239298</v>
      </c>
    </row>
    <row r="20" spans="1:8" x14ac:dyDescent="0.3">
      <c r="A20" s="1"/>
      <c r="B20" s="8">
        <v>4</v>
      </c>
      <c r="C20" s="19">
        <v>0.69666666666666655</v>
      </c>
      <c r="D20" s="20">
        <v>0.2148642982597776</v>
      </c>
      <c r="E20" s="19">
        <v>0.78</v>
      </c>
      <c r="F20" s="20">
        <v>0.10165300454651274</v>
      </c>
      <c r="G20" s="19">
        <v>0.77976190476190477</v>
      </c>
      <c r="H20" s="20">
        <v>8.6052573183339046E-2</v>
      </c>
    </row>
    <row r="21" spans="1:8" x14ac:dyDescent="0.3">
      <c r="A21" s="1" t="s">
        <v>14</v>
      </c>
      <c r="B21" s="9">
        <v>2</v>
      </c>
      <c r="C21" s="21">
        <v>0.76</v>
      </c>
      <c r="D21" s="23">
        <v>0.18767584347012331</v>
      </c>
      <c r="E21" s="21">
        <v>0.72666666666666657</v>
      </c>
      <c r="F21" s="22">
        <v>0.18618986725025255</v>
      </c>
      <c r="G21" s="21">
        <v>0.71309523809523812</v>
      </c>
      <c r="H21" s="22">
        <v>0.12092273258670524</v>
      </c>
    </row>
    <row r="22" spans="1:8" ht="15" thickBot="1" x14ac:dyDescent="0.35">
      <c r="A22" s="6"/>
      <c r="B22" s="10">
        <v>4</v>
      </c>
      <c r="C22" s="24">
        <v>0.65333333333333332</v>
      </c>
      <c r="D22" s="25">
        <v>0.2062899792902107</v>
      </c>
      <c r="E22" s="24">
        <v>0.64666666666666672</v>
      </c>
      <c r="F22" s="26">
        <v>0.10954451150103324</v>
      </c>
      <c r="G22" s="24">
        <v>0.81309523809523809</v>
      </c>
      <c r="H22" s="26">
        <v>0.13842325574998698</v>
      </c>
    </row>
    <row r="25" spans="1:8" ht="15" thickBot="1" x14ac:dyDescent="0.35">
      <c r="A25" t="s">
        <v>21</v>
      </c>
    </row>
    <row r="26" spans="1:8" x14ac:dyDescent="0.3">
      <c r="A26" s="11" t="s">
        <v>1</v>
      </c>
      <c r="B26" s="11" t="s">
        <v>0</v>
      </c>
      <c r="C26" s="14" t="s">
        <v>2</v>
      </c>
      <c r="D26" s="15"/>
      <c r="E26" s="14" t="s">
        <v>3</v>
      </c>
      <c r="F26" s="15"/>
      <c r="G26" s="14" t="s">
        <v>4</v>
      </c>
      <c r="H26" s="15"/>
    </row>
    <row r="27" spans="1:8" ht="15" thickBot="1" x14ac:dyDescent="0.35">
      <c r="A27" s="12"/>
      <c r="B27" s="12"/>
      <c r="C27" s="4" t="s">
        <v>15</v>
      </c>
      <c r="D27" s="3" t="s">
        <v>16</v>
      </c>
      <c r="E27" s="4" t="s">
        <v>15</v>
      </c>
      <c r="F27" s="3" t="s">
        <v>16</v>
      </c>
      <c r="G27" s="4" t="s">
        <v>15</v>
      </c>
      <c r="H27" s="3" t="s">
        <v>16</v>
      </c>
    </row>
    <row r="28" spans="1:8" x14ac:dyDescent="0.3">
      <c r="A28" s="27" t="s">
        <v>17</v>
      </c>
      <c r="B28" s="33">
        <v>2</v>
      </c>
      <c r="C28" s="31">
        <f>AVERAGE(C3,C5)</f>
        <v>0.6</v>
      </c>
      <c r="D28" s="30">
        <f>AVERAGE(D3,D5)</f>
        <v>0.33849807110134023</v>
      </c>
      <c r="E28" s="31">
        <f t="shared" ref="E28:H28" si="0">AVERAGE(E3,E5)</f>
        <v>0.85</v>
      </c>
      <c r="F28" s="30">
        <f t="shared" si="0"/>
        <v>0.18026871856313526</v>
      </c>
      <c r="G28" s="31">
        <f t="shared" si="0"/>
        <v>0.6166666666666667</v>
      </c>
      <c r="H28" s="30">
        <f t="shared" si="0"/>
        <v>0.14592117304504065</v>
      </c>
    </row>
    <row r="29" spans="1:8" ht="15" thickBot="1" x14ac:dyDescent="0.35">
      <c r="A29" s="5"/>
      <c r="B29" s="34">
        <v>4</v>
      </c>
      <c r="C29" s="29">
        <f>AVERAGE(C4,C6)</f>
        <v>0.57499999999999996</v>
      </c>
      <c r="D29" s="28">
        <f t="shared" ref="D29:H29" si="1">AVERAGE(D4,D6)</f>
        <v>0.29991069950635774</v>
      </c>
      <c r="E29" s="29">
        <f t="shared" si="1"/>
        <v>0.60000000000000009</v>
      </c>
      <c r="F29" s="28">
        <f t="shared" si="1"/>
        <v>0.2471044314541517</v>
      </c>
      <c r="G29" s="29">
        <f t="shared" si="1"/>
        <v>0.7</v>
      </c>
      <c r="H29" s="28">
        <f t="shared" si="1"/>
        <v>0.12897687979209721</v>
      </c>
    </row>
    <row r="30" spans="1:8" x14ac:dyDescent="0.3">
      <c r="A30" s="32" t="s">
        <v>18</v>
      </c>
      <c r="B30" s="8">
        <v>2</v>
      </c>
      <c r="C30" s="31">
        <f>AVERAGE(C7,C9,C11)</f>
        <v>0.6</v>
      </c>
      <c r="D30" s="30">
        <f t="shared" ref="D30:H30" si="2">AVERAGE(D7,D9,D11)</f>
        <v>0.25511707482713869</v>
      </c>
      <c r="E30" s="31">
        <f t="shared" si="2"/>
        <v>0.48333333333333339</v>
      </c>
      <c r="F30" s="30">
        <f t="shared" si="2"/>
        <v>0.24522727667578917</v>
      </c>
      <c r="G30" s="31">
        <f t="shared" si="2"/>
        <v>0.63333333344444431</v>
      </c>
      <c r="H30" s="30">
        <f t="shared" si="2"/>
        <v>0.19391388208970203</v>
      </c>
    </row>
    <row r="31" spans="1:8" ht="15" thickBot="1" x14ac:dyDescent="0.35">
      <c r="A31" s="5"/>
      <c r="B31" s="34">
        <v>4</v>
      </c>
      <c r="C31" s="29">
        <f>AVERAGE(C8,C10,C12)</f>
        <v>0.6333333333333333</v>
      </c>
      <c r="D31" s="28">
        <f t="shared" ref="D31:H31" si="3">AVERAGE(D8,D10,D12)</f>
        <v>0.16582269204209013</v>
      </c>
      <c r="E31" s="29">
        <f t="shared" si="3"/>
        <v>0.56666666666666676</v>
      </c>
      <c r="F31" s="28">
        <f t="shared" si="3"/>
        <v>0.32632172365172024</v>
      </c>
      <c r="G31" s="29">
        <f t="shared" si="3"/>
        <v>0.72222222233333333</v>
      </c>
      <c r="H31" s="28">
        <f t="shared" si="3"/>
        <v>0.1595145910907341</v>
      </c>
    </row>
    <row r="32" spans="1:8" x14ac:dyDescent="0.3">
      <c r="A32" s="32" t="s">
        <v>19</v>
      </c>
      <c r="B32" s="8">
        <v>2</v>
      </c>
      <c r="C32" s="31">
        <f>AVERAGE(C13,C15)</f>
        <v>0.61333333333333329</v>
      </c>
      <c r="D32" s="30">
        <f t="shared" ref="D32:H32" si="4">AVERAGE(D13,D15)</f>
        <v>0.26055457568667328</v>
      </c>
      <c r="E32" s="31">
        <f t="shared" si="4"/>
        <v>0.71333333333333337</v>
      </c>
      <c r="F32" s="30">
        <f t="shared" si="4"/>
        <v>0.20603738995895532</v>
      </c>
      <c r="G32" s="31">
        <f t="shared" si="4"/>
        <v>0.68154761904761907</v>
      </c>
      <c r="H32" s="30">
        <f t="shared" si="4"/>
        <v>0.21548121448186758</v>
      </c>
    </row>
    <row r="33" spans="1:8" ht="15" thickBot="1" x14ac:dyDescent="0.35">
      <c r="A33" s="5"/>
      <c r="B33" s="34">
        <v>4</v>
      </c>
      <c r="C33" s="29">
        <f>AVERAGE(C14,C16)</f>
        <v>0.58333333333333326</v>
      </c>
      <c r="D33" s="28">
        <f t="shared" ref="D33:H33" si="5">AVERAGE(D14,D16)</f>
        <v>0.1163464943074758</v>
      </c>
      <c r="E33" s="29">
        <f t="shared" si="5"/>
        <v>0.62333333333333329</v>
      </c>
      <c r="F33" s="28">
        <f t="shared" si="5"/>
        <v>0.14733582428456055</v>
      </c>
      <c r="G33" s="29">
        <f t="shared" si="5"/>
        <v>0.65892857142857153</v>
      </c>
      <c r="H33" s="28">
        <f t="shared" si="5"/>
        <v>0.21210827849378414</v>
      </c>
    </row>
    <row r="34" spans="1:8" x14ac:dyDescent="0.3">
      <c r="A34" s="2" t="s">
        <v>20</v>
      </c>
      <c r="B34" s="8">
        <v>2</v>
      </c>
      <c r="C34" s="31">
        <f>AVERAGE(C17,C19,C21)</f>
        <v>0.64777777777777779</v>
      </c>
      <c r="D34" s="30">
        <f t="shared" ref="D34:H34" si="6">AVERAGE(D17,D19,D21)</f>
        <v>0.16516154791960311</v>
      </c>
      <c r="E34" s="31">
        <f t="shared" si="6"/>
        <v>0.67333333333333334</v>
      </c>
      <c r="F34" s="30">
        <f t="shared" si="6"/>
        <v>0.22459363051898573</v>
      </c>
      <c r="G34" s="31">
        <f t="shared" si="6"/>
        <v>0.69960317460317467</v>
      </c>
      <c r="H34" s="30">
        <f t="shared" si="6"/>
        <v>0.14067896381475395</v>
      </c>
    </row>
    <row r="35" spans="1:8" ht="15" thickBot="1" x14ac:dyDescent="0.35">
      <c r="A35" s="6"/>
      <c r="B35" s="34">
        <v>4</v>
      </c>
      <c r="C35" s="29">
        <f>AVERAGE(C18,C20,C22)</f>
        <v>0.69777777777777772</v>
      </c>
      <c r="D35" s="28">
        <f t="shared" ref="D35:H35" si="7">AVERAGE(D18,D20,D22)</f>
        <v>0.20144534435681427</v>
      </c>
      <c r="E35" s="29">
        <f t="shared" si="7"/>
        <v>0.6644444444444445</v>
      </c>
      <c r="F35" s="28">
        <f t="shared" si="7"/>
        <v>0.14737920790779876</v>
      </c>
      <c r="G35" s="29">
        <f t="shared" si="7"/>
        <v>0.76468253968253974</v>
      </c>
      <c r="H35" s="28">
        <f t="shared" si="7"/>
        <v>0.10945951858983068</v>
      </c>
    </row>
  </sheetData>
  <mergeCells count="24">
    <mergeCell ref="A32:A33"/>
    <mergeCell ref="A34:A35"/>
    <mergeCell ref="A28:A29"/>
    <mergeCell ref="A30:A31"/>
    <mergeCell ref="A26:A27"/>
    <mergeCell ref="B26:B27"/>
    <mergeCell ref="C26:D26"/>
    <mergeCell ref="E26:F26"/>
    <mergeCell ref="G26:H26"/>
    <mergeCell ref="A19:A20"/>
    <mergeCell ref="A21:A22"/>
    <mergeCell ref="C1:D1"/>
    <mergeCell ref="E1:F1"/>
    <mergeCell ref="A3:A4"/>
    <mergeCell ref="A5:A6"/>
    <mergeCell ref="A7:A8"/>
    <mergeCell ref="A9:A10"/>
    <mergeCell ref="A11:A12"/>
    <mergeCell ref="A13:A14"/>
    <mergeCell ref="G1:H1"/>
    <mergeCell ref="B1:B2"/>
    <mergeCell ref="A1:A2"/>
    <mergeCell ref="A15:A16"/>
    <mergeCell ref="A17:A18"/>
  </mergeCells>
  <phoneticPr fontId="1" type="noConversion"/>
  <pageMargins left="0.7" right="0.7" top="0.75" bottom="0.75" header="0.3" footer="0.3"/>
  <ignoredErrors>
    <ignoredError sqref="C30 C3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Kuzmanoski, Marko</dc:creator>
  <cp:lastModifiedBy>Kuzmanoski, Marko</cp:lastModifiedBy>
  <dcterms:created xsi:type="dcterms:W3CDTF">2025-06-27T15:10:13Z</dcterms:created>
  <dcterms:modified xsi:type="dcterms:W3CDTF">2025-06-30T11:08:44Z</dcterms:modified>
</cp:coreProperties>
</file>